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name="BREAKER_RATING_A" vbProcedure="false">Sheet1!$B$14</definedName>
    <definedName function="false" hidden="false" name="CONTINUOUS_DUTY_DERATE" vbProcedure="false">Sheet1!$B$15</definedName>
    <definedName function="false" hidden="false" name="ev_apparent_power_kva" vbProcedure="false">Sheet1!$B$18</definedName>
    <definedName function="false" hidden="false" name="ev_pilot_current_a" vbProcedure="false">Sheet1!$B$17</definedName>
    <definedName function="false" hidden="false" name="ev_real_power_kw" vbProcedure="false">Sheet1!$B$19</definedName>
    <definedName function="false" hidden="false" name="EV_TRUE_POWER_FACTOR" vbProcedure="false">Sheet1!$B$16</definedName>
    <definedName function="false" hidden="false" name="PANEL_VOLTAGE_V" vbProcedure="false">Sheet1!$B$13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<sst xmlns="http://schemas.openxmlformats.org/spreadsheetml/2006/main" count="11" uniqueCount="10">
  <si>
    <t xml:space="preserve">kW</t>
  </si>
  <si>
    <t xml:space="preserve">kVA</t>
  </si>
  <si>
    <t xml:space="preserve">PF</t>
  </si>
  <si>
    <t xml:space="preserve">PANEL_VOLTAGE_V</t>
  </si>
  <si>
    <t xml:space="preserve">BREAKER_RATING_A</t>
  </si>
  <si>
    <t xml:space="preserve">CONTINUOUS_DUTY_DERATE</t>
  </si>
  <si>
    <t xml:space="preserve">EV_TRUE_POWER_FACTOR</t>
  </si>
  <si>
    <t xml:space="preserve">ev_pilot_current_a</t>
  </si>
  <si>
    <t xml:space="preserve">ev_apparent_power_kva</t>
  </si>
  <si>
    <t xml:space="preserve">ev_real_power_kw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</si>
</sst>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9.39"/>
    <col collapsed="false" customWidth="false" hidden="false" outlineLevel="0" max="5" min="4" style="1" width="11.52"/>
  </cols>
  <sheetData>
    <row r="1" customFormat="false" ht="12.8" hidden="false" customHeight="false" outlineLevel="0" collapsed="false">
      <c r="D1" s="1" t="s">
        <v>0</v>
      </c>
      <c r="E1" s="1" t="s">
        <v>1</v>
      </c>
    </row>
    <row r="2" customFormat="false" ht="12.8" hidden="false" customHeight="false" outlineLevel="0" collapsed="false">
      <c r="A2" s="2" t="s">
        <v>0</v>
      </c>
      <c r="B2" s="2" t="n">
        <v>6.666</v>
      </c>
      <c r="C2" s="2" t="n">
        <v>1</v>
      </c>
      <c r="D2" s="1" t="n">
        <f aca="false">$B$2 *C2</f>
        <v>6.666</v>
      </c>
      <c r="E2" s="1" t="n">
        <f aca="false">D2/$B$3</f>
        <v>6.73333333333333</v>
      </c>
    </row>
    <row r="3" customFormat="false" ht="12.8" hidden="false" customHeight="false" outlineLevel="0" collapsed="false">
      <c r="A3" s="2" t="s">
        <v>2</v>
      </c>
      <c r="B3" s="2" t="n">
        <f aca="false">B16</f>
        <v>0.99</v>
      </c>
      <c r="C3" s="2" t="n">
        <v>2</v>
      </c>
      <c r="D3" s="1" t="n">
        <f aca="false">$B$2 *C3</f>
        <v>13.332</v>
      </c>
      <c r="E3" s="1" t="n">
        <f aca="false">D3/$B$3</f>
        <v>13.4666666666667</v>
      </c>
    </row>
    <row r="4" customFormat="false" ht="12.8" hidden="false" customHeight="false" outlineLevel="0" collapsed="false">
      <c r="C4" s="2" t="n">
        <v>3</v>
      </c>
      <c r="D4" s="1" t="n">
        <f aca="false">$B$2 *C4</f>
        <v>19.998</v>
      </c>
      <c r="E4" s="1" t="n">
        <f aca="false">D4/$B$3</f>
        <v>20.2</v>
      </c>
    </row>
    <row r="5" customFormat="false" ht="12.8" hidden="false" customHeight="false" outlineLevel="0" collapsed="false">
      <c r="C5" s="2" t="n">
        <v>4</v>
      </c>
      <c r="D5" s="1" t="n">
        <f aca="false">$B$2 *C5</f>
        <v>26.664</v>
      </c>
      <c r="E5" s="1" t="n">
        <f aca="false">D5/$B$3</f>
        <v>26.9333333333333</v>
      </c>
    </row>
    <row r="6" customFormat="false" ht="12.8" hidden="false" customHeight="false" outlineLevel="0" collapsed="false">
      <c r="C6" s="2" t="n">
        <v>5</v>
      </c>
      <c r="D6" s="1" t="n">
        <f aca="false">$B$2 *C6</f>
        <v>33.33</v>
      </c>
      <c r="E6" s="1" t="n">
        <f aca="false">D6/$B$3</f>
        <v>33.6666666666667</v>
      </c>
    </row>
    <row r="7" customFormat="false" ht="12.8" hidden="false" customHeight="false" outlineLevel="0" collapsed="false">
      <c r="C7" s="2" t="n">
        <v>6</v>
      </c>
      <c r="D7" s="1" t="n">
        <f aca="false">$B$2 *C7</f>
        <v>39.996</v>
      </c>
      <c r="E7" s="1" t="n">
        <f aca="false">D7/$B$3</f>
        <v>40.4</v>
      </c>
    </row>
    <row r="8" customFormat="false" ht="12.8" hidden="false" customHeight="false" outlineLevel="0" collapsed="false">
      <c r="C8" s="2" t="n">
        <v>7</v>
      </c>
      <c r="D8" s="1" t="n">
        <f aca="false">$B$2 *C8</f>
        <v>46.662</v>
      </c>
      <c r="E8" s="1" t="n">
        <f aca="false">D8/$B$3</f>
        <v>47.1333333333333</v>
      </c>
    </row>
    <row r="9" customFormat="false" ht="12.8" hidden="false" customHeight="false" outlineLevel="0" collapsed="false">
      <c r="C9" s="2" t="n">
        <v>8</v>
      </c>
      <c r="D9" s="1" t="n">
        <f aca="false">$B$2 *C9</f>
        <v>53.328</v>
      </c>
      <c r="E9" s="1" t="n">
        <f aca="false">D9/$B$3</f>
        <v>53.8666666666667</v>
      </c>
    </row>
    <row r="10" customFormat="false" ht="12.8" hidden="false" customHeight="false" outlineLevel="0" collapsed="false">
      <c r="C10" s="2" t="n">
        <v>9</v>
      </c>
      <c r="D10" s="1" t="n">
        <f aca="false">$B$2 *C10</f>
        <v>59.994</v>
      </c>
      <c r="E10" s="1" t="n">
        <f aca="false">D10/$B$3</f>
        <v>60.6</v>
      </c>
    </row>
    <row r="11" customFormat="false" ht="12.8" hidden="false" customHeight="false" outlineLevel="0" collapsed="false">
      <c r="C11" s="2" t="n">
        <v>10</v>
      </c>
      <c r="D11" s="1" t="n">
        <f aca="false">$B$2 *C11</f>
        <v>66.66</v>
      </c>
      <c r="E11" s="1" t="n">
        <f aca="false">D11/$B$3</f>
        <v>67.3333333333333</v>
      </c>
    </row>
    <row r="13" customFormat="false" ht="12.8" hidden="false" customHeight="false" outlineLevel="0" collapsed="false">
      <c r="A13" s="0" t="s">
        <v>3</v>
      </c>
      <c r="B13" s="0" t="n">
        <v>208</v>
      </c>
    </row>
    <row r="14" customFormat="false" ht="12.8" hidden="false" customHeight="false" outlineLevel="0" collapsed="false">
      <c r="A14" s="0" t="s">
        <v>4</v>
      </c>
      <c r="B14" s="0" t="n">
        <v>40</v>
      </c>
    </row>
    <row r="15" customFormat="false" ht="12.8" hidden="false" customHeight="false" outlineLevel="0" collapsed="false">
      <c r="A15" s="0" t="s">
        <v>5</v>
      </c>
      <c r="B15" s="0" t="n">
        <v>0.8</v>
      </c>
    </row>
    <row r="16" customFormat="false" ht="12.8" hidden="false" customHeight="false" outlineLevel="0" collapsed="false">
      <c r="A16" s="0" t="s">
        <v>6</v>
      </c>
      <c r="B16" s="0" t="n">
        <v>0.99</v>
      </c>
    </row>
    <row r="17" customFormat="false" ht="12.8" hidden="false" customHeight="false" outlineLevel="0" collapsed="false">
      <c r="A17" s="0" t="s">
        <v>7</v>
      </c>
      <c r="B17" s="0" t="n">
        <f aca="false"> BREAKER_RATING_A * CONTINUOUS_DUTY_DERATE</f>
        <v>32</v>
      </c>
    </row>
    <row r="18" customFormat="false" ht="12.8" hidden="false" customHeight="false" outlineLevel="0" collapsed="false">
      <c r="A18" s="0" t="s">
        <v>8</v>
      </c>
      <c r="B18" s="0" t="n">
        <f aca="false"> PANEL_VOLTAGE_V * ev_pilot_current_a / 1000</f>
        <v>6.656</v>
      </c>
    </row>
    <row r="19" customFormat="false" ht="12.8" hidden="false" customHeight="false" outlineLevel="0" collapsed="false">
      <c r="A19" s="0" t="s">
        <v>9</v>
      </c>
      <c r="B19" s="0" t="n">
        <f aca="false"> ev_apparent_power_kva * EV_TRUE_POWER_FACTOR</f>
        <v>6.58944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2026-08-03T18:41:23Z</dcterms:created>
  <dc:creator>Paulo Villela</dc:creator>
  <dc:description/>
  <dc:language>en-CA</dc:language>
  <cp:lastModifiedBy>Paulo Villela</cp:lastModifiedBy>
  <dcterms:modified xsi:type="dcterms:W3CDTF">2026-08-06T09:30:08Z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